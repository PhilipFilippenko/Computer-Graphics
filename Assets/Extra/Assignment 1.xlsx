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PhilipFilippe\Desktop\cgnew\Assets\Extra\"/>
    </mc:Choice>
  </mc:AlternateContent>
  <xr:revisionPtr revIDLastSave="0" documentId="13_ncr:1_{DA75476C-FD27-42DD-84E1-FBA698D7FB1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ssignment generation" sheetId="1" r:id="rId1"/>
    <sheet name="Map of Assignment" sheetId="2" r:id="rId2"/>
    <sheet name="Sheet1" sheetId="3" r:id="rId3"/>
  </sheets>
  <definedNames>
    <definedName name="pointData_1" localSheetId="2">Sheet1!$A$2:$E$25</definedName>
  </definedNames>
  <calcPr calcId="181029" iterateDelta="1E-4"/>
</workbook>
</file>

<file path=xl/calcChain.xml><?xml version="1.0" encoding="utf-8"?>
<calcChain xmlns="http://schemas.openxmlformats.org/spreadsheetml/2006/main">
  <c r="B44" i="2" l="1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43" i="2"/>
  <c r="A66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43" i="2"/>
  <c r="C6" i="1"/>
  <c r="C7" i="1"/>
  <c r="E13" i="1" s="1"/>
  <c r="D7" i="1"/>
  <c r="C12" i="1" s="1"/>
  <c r="E7" i="1"/>
  <c r="E11" i="1" s="1"/>
  <c r="C8" i="1"/>
  <c r="D12" i="1" s="1"/>
  <c r="D8" i="1"/>
  <c r="E8" i="1"/>
  <c r="E12" i="1" s="1"/>
  <c r="C9" i="1"/>
  <c r="D9" i="1"/>
  <c r="E9" i="1"/>
  <c r="C13" i="1" s="1"/>
  <c r="D11" i="1" l="1"/>
  <c r="D13" i="1"/>
  <c r="C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EEEA0F-4C7A-42A1-98A2-6C0C06B2938B}" name="pointData" type="6" refreshedVersion="8" background="1" saveData="1">
    <textPr codePage="437" sourceFile="C:\Users\StudentPhilipFilippe\Desktop\cgnew\pointData.txt" comma="1">
      <textFields count="5">
        <textField/>
        <textField/>
        <textField/>
        <textField/>
        <textField/>
      </textFields>
    </textPr>
  </connection>
  <connection id="2" xr16:uid="{59878C5D-54B5-4DD7-97D6-40E8649F512C}" keepAlive="1" name="Query - 2D" description="Connection to the '2D' query in the workbook." type="5" refreshedVersion="6" background="1" saveData="1">
    <dbPr connection="Provider=Microsoft.Mashup.OleDb.1;Data Source=$Workbook$;Location=2D;Extended Properties=&quot;&quot;" command="SELECT * FROM [2D]"/>
  </connection>
  <connection id="3" xr16:uid="{D7A453F8-4EF0-446C-B78D-4DA6CBD0F45A}" keepAlive="1" name="Query - AfterEverything" description="Connection to the 'AfterEverything' query in the workbook." type="5" refreshedVersion="6" background="1" saveData="1">
    <dbPr connection="Provider=Microsoft.Mashup.OleDb.1;Data Source=$Workbook$;Location=AfterEverything;Extended Properties=&quot;&quot;" command="SELECT * FROM [AfterEverything]"/>
  </connection>
  <connection id="4" xr16:uid="{E96AB22B-0416-48FB-ABEA-D5260A4CA16F}" keepAlive="1" name="Query - easytoremember" description="Connection to the 'easytoremember' query in the workbook." type="5" refreshedVersion="6" background="1">
    <dbPr connection="Provider=Microsoft.Mashup.OleDb.1;Data Source=$Workbook$;Location=easytoremember;Extended Properties=&quot;&quot;" command="SELECT * FROM [easytoremember]"/>
  </connection>
  <connection id="5" xr16:uid="{D39588CB-5320-47C7-B64E-518281BDD46A}" keepAlive="1" name="Query - easytoremember (2)" description="Connection to the 'easytoremember (2)' query in the workbook." type="5" refreshedVersion="6" background="1" saveData="1">
    <dbPr connection="Provider=Microsoft.Mashup.OleDb.1;Data Source=$Workbook$;Location=easytoremember (2);Extended Properties=&quot;&quot;" command="SELECT * FROM [easytoremember (2)]"/>
  </connection>
  <connection id="6" xr16:uid="{FFED4C16-E47E-4E5A-8EDC-50D5AB7E396A}" keepAlive="1" name="Query - easytoremember (3)" description="Connection to the 'easytoremember (3)' query in the workbook." type="5" refreshedVersion="6" background="1" saveData="1">
    <dbPr connection="Provider=Microsoft.Mashup.OleDb.1;Data Source=$Workbook$;Location=easytoremember (3);Extended Properties=&quot;&quot;" command="SELECT * FROM [easytoremember (3)]"/>
  </connection>
  <connection id="7" xr16:uid="{BD9CF7EA-5551-45DD-80AE-C86276B0C6C0}" keepAlive="1" name="Query - easytoremember (4)" description="Connection to the 'easytoremember (4)' query in the workbook." type="5" refreshedVersion="6" background="1" saveData="1">
    <dbPr connection="Provider=Microsoft.Mashup.OleDb.1;Data Source=$Workbook$;Location=easytoremember (4);Extended Properties=&quot;&quot;" command="SELECT * FROM [easytoremember (4)]"/>
  </connection>
  <connection id="8" xr16:uid="{724ACE9B-3BB9-4335-8AA8-955F8F7B34F9}" keepAlive="1" name="Query - projection" description="Connection to the 'projection' query in the workbook." type="5" refreshedVersion="6" background="1" saveData="1">
    <dbPr connection="Provider=Microsoft.Mashup.OleDb.1;Data Source=$Workbook$;Location=projection;Extended Properties=&quot;&quot;" command="SELECT * FROM [projection]"/>
  </connection>
  <connection id="9" xr16:uid="{69264CB2-5ECD-45AF-B152-BC83B379B00B}" keepAlive="1" name="Query - SingleMatrix" description="Connection to the 'SingleMatrix' query in the workbook." type="5" refreshedVersion="6" background="1" saveData="1">
    <dbPr connection="Provider=Microsoft.Mashup.OleDb.1;Data Source=$Workbook$;Location=SingleMatrix;Extended Properties=&quot;&quot;" command="SELECT * FROM [SingleMatrix]"/>
  </connection>
  <connection id="10" xr16:uid="{F712766C-F456-4BC7-B2D2-8E9BD8E03416}" keepAlive="1" name="Query - Viewing" description="Connection to the 'Viewing' query in the workbook." type="5" refreshedVersion="6" background="1" saveData="1">
    <dbPr connection="Provider=Microsoft.Mashup.OleDb.1;Data Source=$Workbook$;Location=Viewing;Extended Properties=&quot;&quot;" command="SELECT * FROM [Viewing]"/>
  </connection>
</connections>
</file>

<file path=xl/sharedStrings.xml><?xml version="1.0" encoding="utf-8"?>
<sst xmlns="http://schemas.openxmlformats.org/spreadsheetml/2006/main" count="48" uniqueCount="46">
  <si>
    <t>z = -1</t>
  </si>
  <si>
    <t>Image after transformations</t>
  </si>
  <si>
    <t>translation</t>
  </si>
  <si>
    <t>Translation Matrix</t>
  </si>
  <si>
    <t>Scale Matrix</t>
  </si>
  <si>
    <t>rotation angle (degrees)</t>
  </si>
  <si>
    <t>Camera position</t>
  </si>
  <si>
    <t>Image after translation</t>
  </si>
  <si>
    <t xml:space="preserve">2nd Transformation Scale </t>
  </si>
  <si>
    <t>Camera look at</t>
  </si>
  <si>
    <t>Viewing Matrix</t>
  </si>
  <si>
    <t>Image after Scale</t>
  </si>
  <si>
    <t>Final Image</t>
  </si>
  <si>
    <t>Rotation Matrix</t>
  </si>
  <si>
    <t xml:space="preserve">scale </t>
  </si>
  <si>
    <t>Projection matrix</t>
  </si>
  <si>
    <t>Single Matrix of transformations</t>
  </si>
  <si>
    <t>1st Transformation a rotation by</t>
  </si>
  <si>
    <t>Image after Viewing Matrix</t>
  </si>
  <si>
    <t>Graphics Assignment No 1.</t>
  </si>
  <si>
    <t>Final Image on graph paper, or excell chart</t>
  </si>
  <si>
    <t>Single Matrix for everything</t>
  </si>
  <si>
    <t>t-number</t>
  </si>
  <si>
    <t>about the axis</t>
  </si>
  <si>
    <t>rotation axis</t>
  </si>
  <si>
    <t>Name</t>
  </si>
  <si>
    <t>3rd Translation</t>
  </si>
  <si>
    <t>Projection</t>
  </si>
  <si>
    <t>Camera up</t>
  </si>
  <si>
    <t>Camera setup</t>
  </si>
  <si>
    <t>Image after Rotation</t>
  </si>
  <si>
    <t>Should be equal (ish)   :-)</t>
  </si>
  <si>
    <t>=</t>
  </si>
  <si>
    <t>Projection by hand i.e. division</t>
  </si>
  <si>
    <t>Projection onto plane</t>
  </si>
  <si>
    <t>Can Be negative</t>
  </si>
  <si>
    <t>Can be negative, needs to be normalised</t>
  </si>
  <si>
    <t>Cannot have 0 or negatives</t>
  </si>
  <si>
    <t>0 replace with 2, negative change sign</t>
  </si>
  <si>
    <t>Vertices of your letter</t>
  </si>
  <si>
    <t>Matrix.lookat();</t>
  </si>
  <si>
    <t>. To be e-mailed to robert.sheehy@mtu.ie before midnight.</t>
  </si>
  <si>
    <t>x</t>
  </si>
  <si>
    <t>y</t>
  </si>
  <si>
    <t>z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</si>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</sst>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color indexed="8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49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horizontal="center" vertical="center"/>
    </xf>
    <xf numFmtId="0" fontId="2" fillId="2" borderId="0" xfId="1" applyNumberFormat="1" applyAlignment="1">
      <alignment horizontal="right"/>
    </xf>
    <xf numFmtId="0" fontId="2" fillId="2" borderId="0" xfId="1" applyAlignment="1">
      <alignment vertical="center"/>
    </xf>
    <xf numFmtId="0" fontId="4" fillId="4" borderId="0" xfId="3" applyNumberFormat="1" applyAlignment="1">
      <alignment horizontal="right"/>
    </xf>
    <xf numFmtId="0" fontId="4" fillId="4" borderId="0" xfId="3" applyAlignment="1">
      <alignment vertical="center"/>
    </xf>
    <xf numFmtId="0" fontId="3" fillId="3" borderId="0" xfId="2" applyNumberFormat="1" applyAlignment="1">
      <alignment horizontal="right"/>
    </xf>
    <xf numFmtId="0" fontId="3" fillId="3" borderId="0" xfId="2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9.4930008748906718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'Map of Assignment'!$A$43:$A$66</c:f>
              <c:numCache>
                <c:formatCode>General</c:formatCode>
                <c:ptCount val="24"/>
                <c:pt idx="0">
                  <c:v>-1.1428934749001882</c:v>
                </c:pt>
                <c:pt idx="1">
                  <c:v>-1.205655345384355</c:v>
                </c:pt>
                <c:pt idx="2">
                  <c:v>-0.58825019194769423</c:v>
                </c:pt>
                <c:pt idx="3">
                  <c:v>-0.26408609390142879</c:v>
                </c:pt>
                <c:pt idx="4">
                  <c:v>0.23157262952343147</c:v>
                </c:pt>
                <c:pt idx="5">
                  <c:v>2.6399231459777202</c:v>
                </c:pt>
                <c:pt idx="6">
                  <c:v>1.8427171934896809</c:v>
                </c:pt>
                <c:pt idx="7">
                  <c:v>-3.7110496179262056E-2</c:v>
                </c:pt>
                <c:pt idx="8">
                  <c:v>-3.9342600718693659E-2</c:v>
                </c:pt>
                <c:pt idx="9">
                  <c:v>0.72134905198631005</c:v>
                </c:pt>
                <c:pt idx="10">
                  <c:v>-4.8960018872500975E-2</c:v>
                </c:pt>
                <c:pt idx="11">
                  <c:v>-0.41448588856539681</c:v>
                </c:pt>
                <c:pt idx="12">
                  <c:v>-1.0034731496236693</c:v>
                </c:pt>
                <c:pt idx="13">
                  <c:v>-1.0340003607548149</c:v>
                </c:pt>
                <c:pt idx="14">
                  <c:v>-0.47148155701729355</c:v>
                </c:pt>
                <c:pt idx="15">
                  <c:v>-0.10354085891846766</c:v>
                </c:pt>
                <c:pt idx="16">
                  <c:v>0.29356911571860916</c:v>
                </c:pt>
                <c:pt idx="17">
                  <c:v>1.8700860774845613</c:v>
                </c:pt>
                <c:pt idx="18">
                  <c:v>1.4587181733368939</c:v>
                </c:pt>
                <c:pt idx="19">
                  <c:v>1.1781381578281904E-2</c:v>
                </c:pt>
                <c:pt idx="20">
                  <c:v>1.9164178040297096E-2</c:v>
                </c:pt>
                <c:pt idx="21">
                  <c:v>0.66263372775610729</c:v>
                </c:pt>
                <c:pt idx="22">
                  <c:v>4.7635563164844234E-2</c:v>
                </c:pt>
                <c:pt idx="23">
                  <c:v>-0.3152097066987456</c:v>
                </c:pt>
              </c:numCache>
            </c:numRef>
          </c:xVal>
          <c:yVal>
            <c:numRef>
              <c:f>'Map of Assignment'!$B$43:$B$66</c:f>
              <c:numCache>
                <c:formatCode>General</c:formatCode>
                <c:ptCount val="24"/>
                <c:pt idx="0">
                  <c:v>-0.91039915778721059</c:v>
                </c:pt>
                <c:pt idx="1">
                  <c:v>-0.5377714960670581</c:v>
                </c:pt>
                <c:pt idx="2">
                  <c:v>-0.5754689281299824</c:v>
                </c:pt>
                <c:pt idx="3">
                  <c:v>2.2108100349595552</c:v>
                </c:pt>
                <c:pt idx="4">
                  <c:v>4.1031460001673139</c:v>
                </c:pt>
                <c:pt idx="5">
                  <c:v>5.4297838057175101</c:v>
                </c:pt>
                <c:pt idx="6">
                  <c:v>2.8996182092750105</c:v>
                </c:pt>
                <c:pt idx="7">
                  <c:v>-1.0421039984725067</c:v>
                </c:pt>
                <c:pt idx="8">
                  <c:v>-0.60898397115611735</c:v>
                </c:pt>
                <c:pt idx="9">
                  <c:v>1.4031181887008279</c:v>
                </c:pt>
                <c:pt idx="10">
                  <c:v>1.2571843424694402</c:v>
                </c:pt>
                <c:pt idx="11">
                  <c:v>-0.58607867224427546</c:v>
                </c:pt>
                <c:pt idx="12">
                  <c:v>-0.72009182008258155</c:v>
                </c:pt>
                <c:pt idx="13">
                  <c:v>-0.35114726985098788</c:v>
                </c:pt>
                <c:pt idx="14">
                  <c:v>-0.3683357487080548</c:v>
                </c:pt>
                <c:pt idx="15">
                  <c:v>1.9943700337012644</c:v>
                </c:pt>
                <c:pt idx="16">
                  <c:v>3.2729253829531415</c:v>
                </c:pt>
                <c:pt idx="17">
                  <c:v>3.9664140470956086</c:v>
                </c:pt>
                <c:pt idx="18">
                  <c:v>2.4483101246456531</c:v>
                </c:pt>
                <c:pt idx="19">
                  <c:v>-0.80865986443855997</c:v>
                </c:pt>
                <c:pt idx="20">
                  <c:v>-0.38332812336500799</c:v>
                </c:pt>
                <c:pt idx="21">
                  <c:v>1.3719408010416483</c:v>
                </c:pt>
                <c:pt idx="22">
                  <c:v>1.2569420064262153</c:v>
                </c:pt>
                <c:pt idx="23">
                  <c:v>-0.37311093178498173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4A-43EA-A089-ED1EE72DF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9856"/>
        <c:axId val="1346380416"/>
      </c:scatterChart>
      <c:valAx>
        <c:axId val="134636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80416"/>
        <c:crosses val="autoZero"/>
        <c:crossBetween val="midCat"/>
      </c:valAx>
      <c:valAx>
        <c:axId val="134638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6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666749</xdr:colOff>
      <xdr:row>2</xdr:row>
      <xdr:rowOff>54428</xdr:rowOff>
    </xdr:from>
    <xdr:to>
      <xdr:col>4</xdr:col>
      <xdr:colOff>1265464</xdr:colOff>
      <xdr:row>2</xdr:row>
      <xdr:rowOff>5100310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609B39-187B-2A8E-C3E6-D868ED462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3713" y="380999"/>
          <a:ext cx="2517322" cy="5045882"/>
        </a:xfrm>
        <a:prstGeom prst="rect">
          <a:avLst/>
        </a:prstGeom>
      </xdr:spPr>
    </xdr:pic>
    <xdr:clientData/>
  </xdr:twoCellAnchor>
  <xdr:twoCellAnchor editAs="oneCell">
    <xdr:from>
      <xdr:col>3</xdr:col>
      <xdr:colOff>176893</xdr:colOff>
      <xdr:row>5</xdr:row>
      <xdr:rowOff>299357</xdr:rowOff>
    </xdr:from>
    <xdr:to>
      <xdr:col>4</xdr:col>
      <xdr:colOff>1665632</xdr:colOff>
      <xdr:row>5</xdr:row>
      <xdr:rowOff>1415143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982C48-B9FF-C219-8FC3-A454BFD77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3857" y="6150428"/>
          <a:ext cx="3407346" cy="1115786"/>
        </a:xfrm>
        <a:prstGeom prst="rect">
          <a:avLst/>
        </a:prstGeom>
      </xdr:spPr>
    </xdr:pic>
    <xdr:clientData/>
  </xdr:twoCellAnchor>
  <xdr:twoCellAnchor editAs="oneCell">
    <xdr:from>
      <xdr:col>3</xdr:col>
      <xdr:colOff>299357</xdr:colOff>
      <xdr:row>8</xdr:row>
      <xdr:rowOff>340178</xdr:rowOff>
    </xdr:from>
    <xdr:to>
      <xdr:col>4</xdr:col>
      <xdr:colOff>1514912</xdr:colOff>
      <xdr:row>8</xdr:row>
      <xdr:rowOff>4674658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BC9B8A2-6D71-A565-3626-3892733A1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36321" y="8368392"/>
          <a:ext cx="3134162" cy="433448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1238250</xdr:colOff>
      <xdr:row>11</xdr:row>
      <xdr:rowOff>95250</xdr:rowOff>
    </xdr:from>
    <xdr:to>
      <xdr:col>4</xdr:col>
      <xdr:colOff>782208</xdr:colOff>
      <xdr:row>11</xdr:row>
      <xdr:rowOff>1087340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39AE4C-85CF-BD62-DBB9-3ED3344C2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75214" y="13647964"/>
          <a:ext cx="1462565" cy="992090"/>
        </a:xfrm>
        <a:prstGeom prst="rect">
          <a:avLst/>
        </a:prstGeom>
      </xdr:spPr>
    </xdr:pic>
    <xdr:clientData/>
  </xdr:twoCellAnchor>
  <xdr:twoCellAnchor editAs="oneCell">
    <xdr:from>
      <xdr:col>3</xdr:col>
      <xdr:colOff>993322</xdr:colOff>
      <xdr:row>17</xdr:row>
      <xdr:rowOff>217714</xdr:rowOff>
    </xdr:from>
    <xdr:to>
      <xdr:col>4</xdr:col>
      <xdr:colOff>637033</xdr:colOff>
      <xdr:row>17</xdr:row>
      <xdr:rowOff>1132242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696D92F-3195-A92D-4775-F744F6CE9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30286" y="20805321"/>
          <a:ext cx="1562318" cy="914528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20</xdr:row>
      <xdr:rowOff>204108</xdr:rowOff>
    </xdr:from>
    <xdr:to>
      <xdr:col>4</xdr:col>
      <xdr:colOff>1646465</xdr:colOff>
      <xdr:row>20</xdr:row>
      <xdr:rowOff>5001045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C9A2FB-BE9B-C191-6A73-E2FDDDFC2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22714" y="22479001"/>
          <a:ext cx="3279322" cy="4796937"/>
        </a:xfrm>
        <a:prstGeom prst="rect">
          <a:avLst/>
        </a:prstGeom>
      </xdr:spPr>
    </xdr:pic>
    <xdr:clientData/>
  </xdr:twoCellAnchor>
  <xdr:twoCellAnchor editAs="oneCell">
    <xdr:from>
      <xdr:col>3</xdr:col>
      <xdr:colOff>517071</xdr:colOff>
      <xdr:row>14</xdr:row>
      <xdr:rowOff>421822</xdr:rowOff>
    </xdr:from>
    <xdr:to>
      <xdr:col>4</xdr:col>
      <xdr:colOff>1532573</xdr:colOff>
      <xdr:row>14</xdr:row>
      <xdr:rowOff>4765828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85DFEE-AF6D-393E-A8FD-B16738281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54035" y="15484929"/>
          <a:ext cx="2934109" cy="4344006"/>
        </a:xfrm>
        <a:prstGeom prst="rect">
          <a:avLst/>
        </a:prstGeom>
      </xdr:spPr>
    </xdr:pic>
    <xdr:clientData/>
  </xdr:twoCellAnchor>
  <xdr:twoCellAnchor editAs="oneCell">
    <xdr:from>
      <xdr:col>7</xdr:col>
      <xdr:colOff>149678</xdr:colOff>
      <xdr:row>11</xdr:row>
      <xdr:rowOff>122464</xdr:rowOff>
    </xdr:from>
    <xdr:to>
      <xdr:col>8</xdr:col>
      <xdr:colOff>680357</xdr:colOff>
      <xdr:row>11</xdr:row>
      <xdr:rowOff>1046518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6D3D212-88E3-A597-B54F-000BC27AA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341178" y="13675178"/>
          <a:ext cx="2449286" cy="924054"/>
        </a:xfrm>
        <a:prstGeom prst="rect">
          <a:avLst/>
        </a:prstGeom>
      </xdr:spPr>
    </xdr:pic>
    <xdr:clientData/>
  </xdr:twoCellAnchor>
  <xdr:twoCellAnchor editAs="oneCell">
    <xdr:from>
      <xdr:col>7</xdr:col>
      <xdr:colOff>449037</xdr:colOff>
      <xdr:row>20</xdr:row>
      <xdr:rowOff>353785</xdr:rowOff>
    </xdr:from>
    <xdr:to>
      <xdr:col>8</xdr:col>
      <xdr:colOff>1469572</xdr:colOff>
      <xdr:row>20</xdr:row>
      <xdr:rowOff>4648724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53CC5EE-F7E3-0D1F-7926-D587A383A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960430" y="22628678"/>
          <a:ext cx="2939142" cy="4294939"/>
        </a:xfrm>
        <a:prstGeom prst="rect">
          <a:avLst/>
        </a:prstGeom>
      </xdr:spPr>
    </xdr:pic>
    <xdr:clientData/>
  </xdr:twoCellAnchor>
  <xdr:twoCellAnchor editAs="oneCell">
    <xdr:from>
      <xdr:col>3</xdr:col>
      <xdr:colOff>258535</xdr:colOff>
      <xdr:row>23</xdr:row>
      <xdr:rowOff>190500</xdr:rowOff>
    </xdr:from>
    <xdr:to>
      <xdr:col>4</xdr:col>
      <xdr:colOff>1559827</xdr:colOff>
      <xdr:row>23</xdr:row>
      <xdr:rowOff>1095501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32225B9-7EF1-9813-0129-CF72C027E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95499" y="27989893"/>
          <a:ext cx="3219899" cy="905001"/>
        </a:xfrm>
        <a:prstGeom prst="rect">
          <a:avLst/>
        </a:prstGeom>
      </xdr:spPr>
    </xdr:pic>
    <xdr:clientData/>
  </xdr:twoCellAnchor>
  <xdr:twoCellAnchor editAs="oneCell">
    <xdr:from>
      <xdr:col>3</xdr:col>
      <xdr:colOff>312965</xdr:colOff>
      <xdr:row>26</xdr:row>
      <xdr:rowOff>149679</xdr:rowOff>
    </xdr:from>
    <xdr:to>
      <xdr:col>4</xdr:col>
      <xdr:colOff>1646465</xdr:colOff>
      <xdr:row>26</xdr:row>
      <xdr:rowOff>5098068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06932F1-8094-9EB7-40AD-7BBCE4CF1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49929" y="29718000"/>
          <a:ext cx="3252107" cy="4948389"/>
        </a:xfrm>
        <a:prstGeom prst="rect">
          <a:avLst/>
        </a:prstGeom>
      </xdr:spPr>
    </xdr:pic>
    <xdr:clientData/>
  </xdr:twoCellAnchor>
  <xdr:twoCellAnchor editAs="oneCell">
    <xdr:from>
      <xdr:col>3</xdr:col>
      <xdr:colOff>721179</xdr:colOff>
      <xdr:row>29</xdr:row>
      <xdr:rowOff>1537607</xdr:rowOff>
    </xdr:from>
    <xdr:to>
      <xdr:col>4</xdr:col>
      <xdr:colOff>1393734</xdr:colOff>
      <xdr:row>29</xdr:row>
      <xdr:rowOff>2480714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D6203E6-F12E-DF83-65B3-ACEA40544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58143" y="36630428"/>
          <a:ext cx="2591162" cy="943107"/>
        </a:xfrm>
        <a:prstGeom prst="rect">
          <a:avLst/>
        </a:prstGeom>
      </xdr:spPr>
    </xdr:pic>
    <xdr:clientData/>
  </xdr:twoCellAnchor>
  <xdr:twoCellAnchor editAs="oneCell">
    <xdr:from>
      <xdr:col>3</xdr:col>
      <xdr:colOff>163285</xdr:colOff>
      <xdr:row>32</xdr:row>
      <xdr:rowOff>285750</xdr:rowOff>
    </xdr:from>
    <xdr:to>
      <xdr:col>4</xdr:col>
      <xdr:colOff>1769420</xdr:colOff>
      <xdr:row>32</xdr:row>
      <xdr:rowOff>4620230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9E51951-A0B3-886E-839A-348C3A37B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00249" y="39800893"/>
          <a:ext cx="3524742" cy="4334480"/>
        </a:xfrm>
        <a:prstGeom prst="rect">
          <a:avLst/>
        </a:prstGeom>
      </xdr:spPr>
    </xdr:pic>
    <xdr:clientData/>
  </xdr:twoCellAnchor>
  <xdr:twoCellAnchor editAs="oneCell">
    <xdr:from>
      <xdr:col>11</xdr:col>
      <xdr:colOff>136071</xdr:colOff>
      <xdr:row>23</xdr:row>
      <xdr:rowOff>176893</xdr:rowOff>
    </xdr:from>
    <xdr:to>
      <xdr:col>12</xdr:col>
      <xdr:colOff>656337</xdr:colOff>
      <xdr:row>23</xdr:row>
      <xdr:rowOff>1034263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C219DFD-8B0D-B001-4220-5F7D7C364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341928" y="27976286"/>
          <a:ext cx="3391373" cy="857370"/>
        </a:xfrm>
        <a:prstGeom prst="rect">
          <a:avLst/>
        </a:prstGeom>
      </xdr:spPr>
    </xdr:pic>
    <xdr:clientData/>
  </xdr:twoCellAnchor>
  <xdr:twoCellAnchor editAs="oneCell">
    <xdr:from>
      <xdr:col>11</xdr:col>
      <xdr:colOff>217714</xdr:colOff>
      <xdr:row>32</xdr:row>
      <xdr:rowOff>326572</xdr:rowOff>
    </xdr:from>
    <xdr:to>
      <xdr:col>12</xdr:col>
      <xdr:colOff>766559</xdr:colOff>
      <xdr:row>32</xdr:row>
      <xdr:rowOff>4661052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80C409D-1387-B393-4889-A55F4B0BE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423571" y="39841715"/>
          <a:ext cx="3419952" cy="4334480"/>
        </a:xfrm>
        <a:prstGeom prst="rect">
          <a:avLst/>
        </a:prstGeom>
      </xdr:spPr>
    </xdr:pic>
    <xdr:clientData/>
  </xdr:twoCellAnchor>
  <xdr:twoCellAnchor>
    <xdr:from>
      <xdr:col>3</xdr:col>
      <xdr:colOff>163286</xdr:colOff>
      <xdr:row>35</xdr:row>
      <xdr:rowOff>353786</xdr:rowOff>
    </xdr:from>
    <xdr:to>
      <xdr:col>4</xdr:col>
      <xdr:colOff>1823358</xdr:colOff>
      <xdr:row>35</xdr:row>
      <xdr:rowOff>2247613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0C53B9B-991D-46F4-8E4F-F94E21041B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intData_1" connectionId="1" xr16:uid="{FADAF6D3-80DF-4F7C-B00B-B1642019C45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opLeftCell="B1" zoomScale="145" zoomScaleNormal="145" workbookViewId="0">
      <selection activeCell="E11" sqref="E11"/>
    </sheetView>
  </sheetViews>
  <sheetFormatPr defaultColWidth="9.140625" defaultRowHeight="12.75" customHeight="1" x14ac:dyDescent="0.2"/>
  <cols>
    <col min="1" max="1" width="46.7109375" customWidth="1"/>
    <col min="2" max="2" width="22.5703125" customWidth="1"/>
    <col min="3" max="3" width="10.85546875" customWidth="1"/>
    <col min="4" max="6" width="9.140625" customWidth="1"/>
    <col min="11" max="11" width="39.5703125" customWidth="1"/>
    <col min="12" max="12" width="57" customWidth="1"/>
  </cols>
  <sheetData>
    <row r="1" spans="1:12" ht="12.75" customHeight="1" x14ac:dyDescent="0.2">
      <c r="A1" s="33" t="s">
        <v>19</v>
      </c>
      <c r="B1" s="33"/>
      <c r="C1" s="33"/>
      <c r="D1" s="33"/>
      <c r="E1" s="33"/>
      <c r="F1" s="33"/>
    </row>
    <row r="2" spans="1:12" ht="12.75" customHeight="1" x14ac:dyDescent="0.2">
      <c r="A2" s="34" t="s">
        <v>41</v>
      </c>
      <c r="B2" s="34"/>
      <c r="C2" s="34"/>
      <c r="D2" s="34"/>
      <c r="E2" s="34"/>
      <c r="F2" s="34"/>
      <c r="K2" s="28" t="s">
        <v>35</v>
      </c>
    </row>
    <row r="3" spans="1:12" ht="12.75" customHeight="1" x14ac:dyDescent="0.2">
      <c r="A3" s="1" t="s">
        <v>25</v>
      </c>
    </row>
    <row r="4" spans="1:12" ht="12.75" customHeight="1" x14ac:dyDescent="0.2">
      <c r="B4" s="1" t="s">
        <v>22</v>
      </c>
      <c r="C4" s="2">
        <v>259086</v>
      </c>
    </row>
    <row r="5" spans="1:12" ht="12.75" customHeight="1" x14ac:dyDescent="0.2">
      <c r="K5" s="30" t="s">
        <v>36</v>
      </c>
    </row>
    <row r="6" spans="1:12" ht="12.75" customHeight="1" x14ac:dyDescent="0.25">
      <c r="A6" s="1" t="s">
        <v>17</v>
      </c>
      <c r="B6" s="1" t="s">
        <v>5</v>
      </c>
      <c r="C6" s="27">
        <f>MOD(C4,100)-50</f>
        <v>36</v>
      </c>
    </row>
    <row r="7" spans="1:12" ht="12.75" customHeight="1" x14ac:dyDescent="0.25">
      <c r="A7" s="1" t="s">
        <v>23</v>
      </c>
      <c r="B7" s="1" t="s">
        <v>24</v>
      </c>
      <c r="C7" s="29">
        <f>INT((C4/10000))-5</f>
        <v>20</v>
      </c>
      <c r="D7" s="29">
        <f>MOD(INT((C4/100)),10)-5</f>
        <v>-5</v>
      </c>
      <c r="E7" s="29">
        <f>MOD(INT((C4/100)),10)-5</f>
        <v>-5</v>
      </c>
    </row>
    <row r="8" spans="1:12" ht="12.75" customHeight="1" x14ac:dyDescent="0.25">
      <c r="A8" s="1" t="s">
        <v>8</v>
      </c>
      <c r="B8" s="1" t="s">
        <v>14</v>
      </c>
      <c r="C8" s="31">
        <f>INT((C4/10000))-5</f>
        <v>20</v>
      </c>
      <c r="D8" s="31">
        <f>MOD(INT((C4/1000)),10)-4</f>
        <v>5</v>
      </c>
      <c r="E8" s="31">
        <f>MOD(INT((C4/100)),10)-5</f>
        <v>-5</v>
      </c>
      <c r="G8">
        <v>5</v>
      </c>
      <c r="H8">
        <v>4</v>
      </c>
      <c r="I8">
        <v>4</v>
      </c>
      <c r="K8" s="32" t="s">
        <v>37</v>
      </c>
      <c r="L8" t="s">
        <v>38</v>
      </c>
    </row>
    <row r="9" spans="1:12" ht="12.75" customHeight="1" x14ac:dyDescent="0.25">
      <c r="A9" s="1" t="s">
        <v>26</v>
      </c>
      <c r="B9" s="1" t="s">
        <v>2</v>
      </c>
      <c r="C9" s="27">
        <f>MOD(C4,10)-5</f>
        <v>1</v>
      </c>
      <c r="D9" s="27">
        <f>MOD(INT((C4/10)),10)-5</f>
        <v>3</v>
      </c>
      <c r="E9" s="27">
        <f>MOD(INT((C4/100)),10)-4</f>
        <v>-4</v>
      </c>
    </row>
    <row r="11" spans="1:12" ht="12.75" customHeight="1" x14ac:dyDescent="0.25">
      <c r="A11" s="3" t="s">
        <v>29</v>
      </c>
      <c r="B11" s="1" t="s">
        <v>6</v>
      </c>
      <c r="C11" s="27">
        <f>2+C7</f>
        <v>22</v>
      </c>
      <c r="D11" s="27">
        <f>3+D7</f>
        <v>-2</v>
      </c>
      <c r="E11" s="27">
        <f>E7+50</f>
        <v>45</v>
      </c>
    </row>
    <row r="12" spans="1:12" ht="12.75" customHeight="1" x14ac:dyDescent="0.25">
      <c r="A12" s="3"/>
      <c r="B12" s="1" t="s">
        <v>9</v>
      </c>
      <c r="C12" s="29">
        <f>D7</f>
        <v>-5</v>
      </c>
      <c r="D12" s="29">
        <f>C8</f>
        <v>20</v>
      </c>
      <c r="E12" s="29">
        <f>E8</f>
        <v>-5</v>
      </c>
      <c r="H12" t="s">
        <v>40</v>
      </c>
    </row>
    <row r="13" spans="1:12" ht="12.75" customHeight="1" x14ac:dyDescent="0.25">
      <c r="A13" s="3"/>
      <c r="B13" s="1" t="s">
        <v>28</v>
      </c>
      <c r="C13" s="29">
        <f>E9</f>
        <v>-4</v>
      </c>
      <c r="D13" s="29">
        <f>D7</f>
        <v>-5</v>
      </c>
      <c r="E13" s="29">
        <f>C7</f>
        <v>20</v>
      </c>
    </row>
    <row r="15" spans="1:12" ht="12.75" customHeight="1" x14ac:dyDescent="0.2">
      <c r="A15" s="1" t="s">
        <v>34</v>
      </c>
      <c r="B15" s="1" t="s">
        <v>27</v>
      </c>
      <c r="C15" s="1" t="s">
        <v>0</v>
      </c>
    </row>
  </sheetData>
  <mergeCells count="2">
    <mergeCell ref="A1:F1"/>
    <mergeCell ref="A2:F2"/>
  </mergeCells>
  <pageMargins left="0.75" right="0.75" top="1" bottom="1" header="0.5" footer="0.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1"/>
  <sheetViews>
    <sheetView showGridLines="0" tabSelected="1" topLeftCell="A28" zoomScale="70" zoomScaleNormal="70" workbookViewId="0">
      <selection activeCell="H46" sqref="H46"/>
    </sheetView>
  </sheetViews>
  <sheetFormatPr defaultColWidth="9.140625" defaultRowHeight="12.75" customHeight="1" x14ac:dyDescent="0.2"/>
  <cols>
    <col min="1" max="3" width="9.140625" customWidth="1"/>
    <col min="4" max="9" width="28.7109375" customWidth="1"/>
    <col min="10" max="10" width="9.140625" customWidth="1"/>
    <col min="11" max="11" width="3.7109375" customWidth="1"/>
    <col min="12" max="12" width="43.140625" customWidth="1"/>
    <col min="13" max="13" width="14.42578125" customWidth="1"/>
  </cols>
  <sheetData>
    <row r="1" spans="3:13" ht="12.75" customHeight="1" x14ac:dyDescent="0.2">
      <c r="D1" s="4"/>
      <c r="E1" s="4"/>
    </row>
    <row r="2" spans="3:13" ht="12.75" customHeight="1" x14ac:dyDescent="0.2">
      <c r="C2" s="5"/>
      <c r="D2" s="37" t="s">
        <v>39</v>
      </c>
      <c r="E2" s="38"/>
      <c r="F2" s="8"/>
      <c r="G2" s="4"/>
      <c r="H2" s="4"/>
      <c r="I2" s="4"/>
      <c r="J2" s="4"/>
      <c r="K2" s="4"/>
      <c r="L2" s="4"/>
    </row>
    <row r="3" spans="3:13" ht="408.75" customHeight="1" x14ac:dyDescent="0.2">
      <c r="C3" s="5"/>
      <c r="D3" s="35"/>
      <c r="E3" s="36"/>
      <c r="F3" s="6"/>
      <c r="G3" s="11"/>
      <c r="H3" s="7"/>
      <c r="I3" s="6"/>
      <c r="J3" s="11"/>
      <c r="K3" s="11"/>
      <c r="L3" s="7"/>
      <c r="M3" s="12"/>
    </row>
    <row r="4" spans="3:13" ht="12.75" customHeight="1" x14ac:dyDescent="0.2">
      <c r="D4" s="13"/>
      <c r="E4" s="14"/>
      <c r="H4" s="15"/>
      <c r="I4" s="12"/>
      <c r="L4" s="15"/>
      <c r="M4" s="12"/>
    </row>
    <row r="5" spans="3:13" ht="12.75" customHeight="1" x14ac:dyDescent="0.2">
      <c r="C5" s="5"/>
      <c r="D5" s="37" t="s">
        <v>13</v>
      </c>
      <c r="E5" s="38"/>
      <c r="F5" s="8"/>
      <c r="H5" s="15"/>
      <c r="I5" s="12"/>
      <c r="L5" s="15"/>
      <c r="M5" s="12"/>
    </row>
    <row r="6" spans="3:13" ht="138.75" customHeight="1" x14ac:dyDescent="0.2">
      <c r="C6" s="5"/>
      <c r="D6" s="35"/>
      <c r="E6" s="36"/>
      <c r="F6" s="16"/>
      <c r="G6" s="12"/>
      <c r="H6" s="15"/>
      <c r="I6" s="12"/>
      <c r="L6" s="15"/>
      <c r="M6" s="12"/>
    </row>
    <row r="7" spans="3:13" ht="12.75" customHeight="1" x14ac:dyDescent="0.2">
      <c r="D7" s="13"/>
      <c r="E7" s="14"/>
      <c r="F7" s="15"/>
      <c r="G7" s="12"/>
      <c r="H7" s="15"/>
      <c r="I7" s="12"/>
      <c r="L7" s="15"/>
      <c r="M7" s="12"/>
    </row>
    <row r="8" spans="3:13" ht="18.75" customHeight="1" x14ac:dyDescent="0.2">
      <c r="C8" s="5"/>
      <c r="D8" s="37" t="s">
        <v>30</v>
      </c>
      <c r="E8" s="38"/>
      <c r="F8" s="17"/>
      <c r="G8" s="12"/>
      <c r="H8" s="15"/>
      <c r="I8" s="12"/>
      <c r="L8" s="15"/>
      <c r="M8" s="12"/>
    </row>
    <row r="9" spans="3:13" ht="409.5" customHeight="1" x14ac:dyDescent="0.2">
      <c r="C9" s="5"/>
      <c r="D9" s="35"/>
      <c r="E9" s="36"/>
      <c r="F9" s="17"/>
      <c r="G9" s="12"/>
      <c r="H9" s="15"/>
      <c r="I9" s="12"/>
      <c r="L9" s="15"/>
      <c r="M9" s="12"/>
    </row>
    <row r="10" spans="3:13" ht="12.75" customHeight="1" x14ac:dyDescent="0.2">
      <c r="D10" s="13"/>
      <c r="E10" s="14"/>
      <c r="F10" s="15"/>
      <c r="G10" s="12"/>
      <c r="H10" s="10"/>
      <c r="I10" s="8"/>
      <c r="L10" s="15"/>
      <c r="M10" s="12"/>
    </row>
    <row r="11" spans="3:13" ht="12.75" customHeight="1" x14ac:dyDescent="0.2">
      <c r="C11" s="5"/>
      <c r="D11" s="37" t="s">
        <v>4</v>
      </c>
      <c r="E11" s="38"/>
      <c r="F11" s="18"/>
      <c r="G11" s="19"/>
      <c r="H11" s="39" t="s">
        <v>16</v>
      </c>
      <c r="I11" s="40"/>
      <c r="J11" s="8"/>
      <c r="L11" s="15"/>
      <c r="M11" s="12"/>
    </row>
    <row r="12" spans="3:13" ht="93" customHeight="1" x14ac:dyDescent="0.2">
      <c r="C12" s="5"/>
      <c r="D12" s="35"/>
      <c r="E12" s="36"/>
      <c r="F12" s="16"/>
      <c r="G12" s="16"/>
      <c r="H12" s="35"/>
      <c r="I12" s="36"/>
      <c r="J12" s="16"/>
      <c r="K12" s="12"/>
      <c r="L12" s="15"/>
      <c r="M12" s="12"/>
    </row>
    <row r="13" spans="3:13" ht="12.75" customHeight="1" x14ac:dyDescent="0.2">
      <c r="D13" s="13"/>
      <c r="E13" s="14"/>
      <c r="F13" s="15"/>
      <c r="G13" s="12"/>
      <c r="H13" s="7"/>
      <c r="I13" s="20"/>
      <c r="J13" s="15"/>
      <c r="K13" s="12"/>
      <c r="L13" s="15"/>
      <c r="M13" s="12"/>
    </row>
    <row r="14" spans="3:13" ht="12.75" customHeight="1" x14ac:dyDescent="0.2">
      <c r="C14" s="5"/>
      <c r="D14" s="37" t="s">
        <v>11</v>
      </c>
      <c r="E14" s="38"/>
      <c r="F14" s="17"/>
      <c r="G14" s="12"/>
      <c r="H14" s="15"/>
      <c r="I14" s="12"/>
      <c r="J14" s="15"/>
      <c r="K14" s="12"/>
      <c r="L14" s="15"/>
      <c r="M14" s="12"/>
    </row>
    <row r="15" spans="3:13" ht="409.5" customHeight="1" x14ac:dyDescent="0.2">
      <c r="C15" s="5"/>
      <c r="D15" s="35"/>
      <c r="E15" s="36"/>
      <c r="F15" s="17"/>
      <c r="G15" s="12"/>
      <c r="H15" s="15"/>
      <c r="I15" s="12"/>
      <c r="J15" s="15"/>
      <c r="K15" s="12"/>
      <c r="L15" s="15"/>
      <c r="M15" s="12"/>
    </row>
    <row r="16" spans="3:13" ht="12.75" customHeight="1" x14ac:dyDescent="0.2">
      <c r="D16" s="13"/>
      <c r="E16" s="14"/>
      <c r="F16" s="15"/>
      <c r="G16" s="12"/>
      <c r="H16" s="15"/>
      <c r="I16" s="12"/>
      <c r="J16" s="15"/>
      <c r="K16" s="12"/>
      <c r="L16" s="15"/>
      <c r="M16" s="12"/>
    </row>
    <row r="17" spans="1:13" ht="12.75" customHeight="1" x14ac:dyDescent="0.2">
      <c r="C17" s="5"/>
      <c r="D17" s="37" t="s">
        <v>3</v>
      </c>
      <c r="E17" s="38"/>
      <c r="F17" s="18"/>
      <c r="G17" s="12"/>
      <c r="H17" s="15"/>
      <c r="I17" s="12"/>
      <c r="J17" s="15"/>
      <c r="K17" s="12"/>
      <c r="L17" s="15"/>
      <c r="M17" s="12"/>
    </row>
    <row r="18" spans="1:13" ht="107.25" customHeight="1" x14ac:dyDescent="0.2">
      <c r="C18" s="5"/>
      <c r="D18" s="35"/>
      <c r="E18" s="36"/>
      <c r="F18" s="20"/>
      <c r="H18" s="15"/>
      <c r="I18" s="12"/>
      <c r="J18" s="15"/>
      <c r="K18" s="12"/>
      <c r="L18" s="15"/>
      <c r="M18" s="12"/>
    </row>
    <row r="19" spans="1:13" ht="12.75" customHeight="1" x14ac:dyDescent="0.2">
      <c r="D19" s="13"/>
      <c r="E19" s="14"/>
      <c r="H19" s="10"/>
      <c r="I19" s="8"/>
      <c r="J19" s="15"/>
      <c r="K19" s="12"/>
      <c r="L19" s="15"/>
      <c r="M19" s="12"/>
    </row>
    <row r="20" spans="1:13" ht="12.75" customHeight="1" x14ac:dyDescent="0.2">
      <c r="C20" s="5"/>
      <c r="D20" s="37" t="s">
        <v>7</v>
      </c>
      <c r="E20" s="38"/>
      <c r="F20" s="41" t="s">
        <v>32</v>
      </c>
      <c r="G20" s="42"/>
      <c r="H20" s="39" t="s">
        <v>1</v>
      </c>
      <c r="I20" s="40"/>
      <c r="J20" s="17"/>
      <c r="K20" s="12"/>
      <c r="L20" s="15"/>
      <c r="M20" s="12"/>
    </row>
    <row r="21" spans="1:13" ht="409.5" customHeight="1" x14ac:dyDescent="0.2">
      <c r="C21" s="5"/>
      <c r="D21" s="35"/>
      <c r="E21" s="36"/>
      <c r="F21" s="41"/>
      <c r="G21" s="42"/>
      <c r="H21" s="35"/>
      <c r="I21" s="36"/>
      <c r="J21" s="17"/>
      <c r="K21" s="12"/>
      <c r="L21" s="15"/>
      <c r="M21" s="12"/>
    </row>
    <row r="22" spans="1:13" ht="12.75" customHeight="1" x14ac:dyDescent="0.2">
      <c r="D22" s="13"/>
      <c r="E22" s="14"/>
      <c r="H22" s="21"/>
      <c r="I22" s="21"/>
      <c r="J22" s="15"/>
      <c r="K22" s="12"/>
      <c r="L22" s="10"/>
      <c r="M22" s="8"/>
    </row>
    <row r="23" spans="1:13" ht="12.75" customHeight="1" x14ac:dyDescent="0.2">
      <c r="C23" s="5"/>
      <c r="D23" s="37" t="s">
        <v>10</v>
      </c>
      <c r="E23" s="38"/>
      <c r="F23" s="9"/>
      <c r="G23" s="22"/>
      <c r="H23" s="22"/>
      <c r="I23" s="22"/>
      <c r="J23" s="10"/>
      <c r="K23" s="18"/>
      <c r="L23" s="39" t="s">
        <v>21</v>
      </c>
      <c r="M23" s="40"/>
    </row>
    <row r="24" spans="1:13" ht="113.25" customHeight="1" x14ac:dyDescent="0.2">
      <c r="C24" s="5"/>
      <c r="D24" s="35"/>
      <c r="E24" s="36"/>
      <c r="F24" s="6"/>
      <c r="G24" s="11"/>
      <c r="H24" s="11"/>
      <c r="I24" s="11"/>
      <c r="J24" s="7"/>
      <c r="K24" s="23"/>
      <c r="L24" s="35"/>
      <c r="M24" s="36"/>
    </row>
    <row r="25" spans="1:13" ht="12.75" customHeight="1" x14ac:dyDescent="0.2">
      <c r="D25" s="13"/>
      <c r="E25" s="14"/>
      <c r="J25" s="15"/>
      <c r="K25" s="12"/>
      <c r="L25" s="7"/>
      <c r="M25" s="20"/>
    </row>
    <row r="26" spans="1:13" ht="12.75" customHeight="1" x14ac:dyDescent="0.2">
      <c r="B26" s="4"/>
      <c r="C26" s="24"/>
      <c r="D26" s="39" t="s">
        <v>18</v>
      </c>
      <c r="E26" s="40"/>
      <c r="F26" s="12"/>
      <c r="J26" s="15"/>
      <c r="K26" s="12"/>
      <c r="L26" s="15"/>
      <c r="M26" s="12"/>
    </row>
    <row r="27" spans="1:13" ht="409.5" customHeight="1" x14ac:dyDescent="0.2">
      <c r="A27" s="5"/>
      <c r="B27" s="6"/>
      <c r="C27" s="7"/>
      <c r="D27" s="35"/>
      <c r="E27" s="36"/>
      <c r="F27" s="12"/>
      <c r="J27" s="15"/>
      <c r="K27" s="12"/>
      <c r="L27" s="15"/>
      <c r="M27" s="12"/>
    </row>
    <row r="28" spans="1:13" ht="12.75" customHeight="1" x14ac:dyDescent="0.2">
      <c r="A28" s="24"/>
      <c r="B28" s="9"/>
      <c r="D28" s="13"/>
      <c r="E28" s="14"/>
      <c r="J28" s="15"/>
      <c r="K28" s="12"/>
      <c r="L28" s="15"/>
      <c r="M28" s="12"/>
    </row>
    <row r="29" spans="1:13" x14ac:dyDescent="0.2">
      <c r="A29" s="39" t="s">
        <v>33</v>
      </c>
      <c r="B29" s="40"/>
      <c r="C29" s="25"/>
      <c r="D29" s="37" t="s">
        <v>15</v>
      </c>
      <c r="E29" s="38"/>
      <c r="F29" s="9"/>
      <c r="G29" s="22"/>
      <c r="H29" s="22"/>
      <c r="I29" s="22"/>
      <c r="J29" s="10"/>
      <c r="K29" s="12"/>
      <c r="L29" s="15"/>
      <c r="M29" s="12"/>
    </row>
    <row r="30" spans="1:13" ht="322.5" customHeight="1" x14ac:dyDescent="0.2">
      <c r="A30" s="35"/>
      <c r="B30" s="36"/>
      <c r="C30" s="25"/>
      <c r="D30" s="35"/>
      <c r="E30" s="36"/>
      <c r="F30" s="20"/>
      <c r="G30" s="21"/>
      <c r="H30" s="21"/>
      <c r="I30" s="21"/>
      <c r="J30" s="21"/>
      <c r="L30" s="15"/>
      <c r="M30" s="12"/>
    </row>
    <row r="31" spans="1:13" x14ac:dyDescent="0.2">
      <c r="A31" s="13"/>
      <c r="B31" s="14"/>
      <c r="D31" s="13"/>
      <c r="E31" s="14"/>
      <c r="L31" s="10"/>
      <c r="M31" s="8"/>
    </row>
    <row r="32" spans="1:13" x14ac:dyDescent="0.2">
      <c r="A32" s="37" t="s">
        <v>12</v>
      </c>
      <c r="B32" s="38"/>
      <c r="C32" s="17"/>
      <c r="D32" s="37" t="s">
        <v>12</v>
      </c>
      <c r="E32" s="38"/>
      <c r="F32" s="41" t="s">
        <v>31</v>
      </c>
      <c r="G32" s="44"/>
      <c r="H32" s="44"/>
      <c r="I32" s="44"/>
      <c r="J32" s="44"/>
      <c r="K32" s="42"/>
      <c r="L32" s="37" t="s">
        <v>12</v>
      </c>
      <c r="M32" s="38"/>
    </row>
    <row r="33" spans="1:13" ht="409.5" customHeight="1" x14ac:dyDescent="0.2">
      <c r="A33" s="45"/>
      <c r="B33" s="43"/>
      <c r="C33" s="17"/>
      <c r="D33" s="35"/>
      <c r="E33" s="36"/>
      <c r="F33" s="41"/>
      <c r="G33" s="44"/>
      <c r="H33" s="44"/>
      <c r="I33" s="44"/>
      <c r="J33" s="44"/>
      <c r="K33" s="42"/>
      <c r="L33" s="35"/>
      <c r="M33" s="43"/>
    </row>
    <row r="34" spans="1:13" x14ac:dyDescent="0.2">
      <c r="A34" s="21"/>
      <c r="B34" s="21"/>
      <c r="D34" s="13"/>
      <c r="E34" s="14"/>
      <c r="L34" s="21"/>
      <c r="M34" s="21"/>
    </row>
    <row r="35" spans="1:13" x14ac:dyDescent="0.2">
      <c r="C35" s="5"/>
      <c r="D35" s="39" t="s">
        <v>20</v>
      </c>
      <c r="E35" s="40"/>
      <c r="F35" s="12"/>
    </row>
    <row r="36" spans="1:13" ht="213.75" customHeight="1" x14ac:dyDescent="0.2">
      <c r="C36" s="5"/>
      <c r="D36" s="35"/>
      <c r="E36" s="36"/>
      <c r="F36" s="12"/>
    </row>
    <row r="38" spans="1:13" ht="15.75" customHeight="1" x14ac:dyDescent="0.2">
      <c r="E38" s="26"/>
      <c r="F38" s="26"/>
      <c r="H38" s="46"/>
      <c r="I38" s="47"/>
    </row>
    <row r="39" spans="1:13" ht="12.75" customHeight="1" x14ac:dyDescent="0.2">
      <c r="H39" s="48"/>
      <c r="I39" s="48"/>
    </row>
    <row r="40" spans="1:13" ht="12.75" customHeight="1" x14ac:dyDescent="0.2">
      <c r="H40" s="48"/>
      <c r="I40" s="48"/>
    </row>
    <row r="43" spans="1:13" ht="12.75" customHeight="1" x14ac:dyDescent="0.2">
      <c r="A43">
        <f>Sheet1!A2/Sheet1!D2</f>
        <v>-1.1428934749001882</v>
      </c>
      <c r="B43">
        <f>Sheet1!B2/Sheet1!D2</f>
        <v>-0.91039915778721059</v>
      </c>
    </row>
    <row r="44" spans="1:13" ht="12.75" customHeight="1" x14ac:dyDescent="0.2">
      <c r="A44">
        <f>Sheet1!A3/Sheet1!D3</f>
        <v>-1.205655345384355</v>
      </c>
      <c r="B44">
        <f>Sheet1!B3/Sheet1!D3</f>
        <v>-0.5377714960670581</v>
      </c>
    </row>
    <row r="45" spans="1:13" ht="12.75" customHeight="1" x14ac:dyDescent="0.2">
      <c r="A45">
        <f>Sheet1!A4/Sheet1!D4</f>
        <v>-0.58825019194769423</v>
      </c>
      <c r="B45">
        <f>Sheet1!B4/Sheet1!D4</f>
        <v>-0.5754689281299824</v>
      </c>
    </row>
    <row r="46" spans="1:13" ht="12.75" customHeight="1" x14ac:dyDescent="0.2">
      <c r="A46">
        <f>Sheet1!A5/Sheet1!D5</f>
        <v>-0.26408609390142879</v>
      </c>
      <c r="B46">
        <f>Sheet1!B5/Sheet1!D5</f>
        <v>2.2108100349595552</v>
      </c>
    </row>
    <row r="47" spans="1:13" ht="12.75" customHeight="1" x14ac:dyDescent="0.2">
      <c r="A47">
        <f>Sheet1!A6/Sheet1!D6</f>
        <v>0.23157262952343147</v>
      </c>
      <c r="B47">
        <f>Sheet1!B6/Sheet1!D6</f>
        <v>4.1031460001673139</v>
      </c>
    </row>
    <row r="48" spans="1:13" ht="12.75" customHeight="1" x14ac:dyDescent="0.2">
      <c r="A48">
        <f>Sheet1!A7/Sheet1!D7</f>
        <v>2.6399231459777202</v>
      </c>
      <c r="B48">
        <f>Sheet1!B7/Sheet1!D7</f>
        <v>5.4297838057175101</v>
      </c>
    </row>
    <row r="49" spans="1:2" ht="12.75" customHeight="1" x14ac:dyDescent="0.2">
      <c r="A49">
        <f>Sheet1!A8/Sheet1!D8</f>
        <v>1.8427171934896809</v>
      </c>
      <c r="B49">
        <f>Sheet1!B8/Sheet1!D8</f>
        <v>2.8996182092750105</v>
      </c>
    </row>
    <row r="50" spans="1:2" ht="12.75" customHeight="1" x14ac:dyDescent="0.2">
      <c r="A50">
        <f>Sheet1!A9/Sheet1!D9</f>
        <v>-3.7110496179262056E-2</v>
      </c>
      <c r="B50">
        <f>Sheet1!B9/Sheet1!D9</f>
        <v>-1.0421039984725067</v>
      </c>
    </row>
    <row r="51" spans="1:2" ht="12.75" customHeight="1" x14ac:dyDescent="0.2">
      <c r="A51">
        <f>Sheet1!A10/Sheet1!D10</f>
        <v>-3.9342600718693659E-2</v>
      </c>
      <c r="B51">
        <f>Sheet1!B10/Sheet1!D10</f>
        <v>-0.60898397115611735</v>
      </c>
    </row>
    <row r="52" spans="1:2" ht="12.75" customHeight="1" x14ac:dyDescent="0.2">
      <c r="A52">
        <f>Sheet1!A11/Sheet1!D11</f>
        <v>0.72134905198631005</v>
      </c>
      <c r="B52">
        <f>Sheet1!B11/Sheet1!D11</f>
        <v>1.4031181887008279</v>
      </c>
    </row>
    <row r="53" spans="1:2" ht="12.75" customHeight="1" x14ac:dyDescent="0.2">
      <c r="A53">
        <f>Sheet1!A12/Sheet1!D12</f>
        <v>-4.8960018872500975E-2</v>
      </c>
      <c r="B53">
        <f>Sheet1!B12/Sheet1!D12</f>
        <v>1.2571843424694402</v>
      </c>
    </row>
    <row r="54" spans="1:2" ht="12.75" customHeight="1" x14ac:dyDescent="0.2">
      <c r="A54">
        <f>Sheet1!A13/Sheet1!D13</f>
        <v>-0.41448588856539681</v>
      </c>
      <c r="B54">
        <f>Sheet1!B13/Sheet1!D13</f>
        <v>-0.58607867224427546</v>
      </c>
    </row>
    <row r="55" spans="1:2" ht="12.75" customHeight="1" x14ac:dyDescent="0.2">
      <c r="A55">
        <f>Sheet1!A14/Sheet1!D14</f>
        <v>-1.0034731496236693</v>
      </c>
      <c r="B55">
        <f>Sheet1!B14/Sheet1!D14</f>
        <v>-0.72009182008258155</v>
      </c>
    </row>
    <row r="56" spans="1:2" ht="12.75" customHeight="1" x14ac:dyDescent="0.2">
      <c r="A56">
        <f>Sheet1!A15/Sheet1!D15</f>
        <v>-1.0340003607548149</v>
      </c>
      <c r="B56">
        <f>Sheet1!B15/Sheet1!D15</f>
        <v>-0.35114726985098788</v>
      </c>
    </row>
    <row r="57" spans="1:2" ht="12.75" customHeight="1" x14ac:dyDescent="0.2">
      <c r="A57">
        <f>Sheet1!A16/Sheet1!D16</f>
        <v>-0.47148155701729355</v>
      </c>
      <c r="B57">
        <f>Sheet1!B16/Sheet1!D16</f>
        <v>-0.3683357487080548</v>
      </c>
    </row>
    <row r="58" spans="1:2" ht="12.75" customHeight="1" x14ac:dyDescent="0.2">
      <c r="A58">
        <f>Sheet1!A17/Sheet1!D17</f>
        <v>-0.10354085891846766</v>
      </c>
      <c r="B58">
        <f>Sheet1!B17/Sheet1!D17</f>
        <v>1.9943700337012644</v>
      </c>
    </row>
    <row r="59" spans="1:2" ht="12.75" customHeight="1" x14ac:dyDescent="0.2">
      <c r="A59">
        <f>Sheet1!A18/Sheet1!D18</f>
        <v>0.29356911571860916</v>
      </c>
      <c r="B59">
        <f>Sheet1!B18/Sheet1!D18</f>
        <v>3.2729253829531415</v>
      </c>
    </row>
    <row r="60" spans="1:2" ht="12.75" customHeight="1" x14ac:dyDescent="0.2">
      <c r="A60">
        <f>Sheet1!A19/Sheet1!D19</f>
        <v>1.8700860774845613</v>
      </c>
      <c r="B60">
        <f>Sheet1!B19/Sheet1!D19</f>
        <v>3.9664140470956086</v>
      </c>
    </row>
    <row r="61" spans="1:2" ht="12.75" customHeight="1" x14ac:dyDescent="0.2">
      <c r="A61">
        <f>Sheet1!A20/Sheet1!D20</f>
        <v>1.4587181733368939</v>
      </c>
      <c r="B61">
        <f>Sheet1!B20/Sheet1!D20</f>
        <v>2.4483101246456531</v>
      </c>
    </row>
    <row r="62" spans="1:2" ht="12.75" customHeight="1" x14ac:dyDescent="0.2">
      <c r="A62">
        <f>Sheet1!A21/Sheet1!D21</f>
        <v>1.1781381578281904E-2</v>
      </c>
      <c r="B62">
        <f>Sheet1!B21/Sheet1!D21</f>
        <v>-0.80865986443855997</v>
      </c>
    </row>
    <row r="63" spans="1:2" ht="12.75" customHeight="1" x14ac:dyDescent="0.2">
      <c r="A63">
        <f>Sheet1!A22/Sheet1!D22</f>
        <v>1.9164178040297096E-2</v>
      </c>
      <c r="B63">
        <f>Sheet1!B22/Sheet1!D22</f>
        <v>-0.38332812336500799</v>
      </c>
    </row>
    <row r="64" spans="1:2" ht="12.75" customHeight="1" x14ac:dyDescent="0.2">
      <c r="A64">
        <f>Sheet1!A23/Sheet1!D23</f>
        <v>0.66263372775610729</v>
      </c>
      <c r="B64">
        <f>Sheet1!B23/Sheet1!D23</f>
        <v>1.3719408010416483</v>
      </c>
    </row>
    <row r="65" spans="1:2" ht="12.75" customHeight="1" x14ac:dyDescent="0.2">
      <c r="A65">
        <f>Sheet1!A24/Sheet1!D24</f>
        <v>4.7635563164844234E-2</v>
      </c>
      <c r="B65">
        <f>Sheet1!B24/Sheet1!D24</f>
        <v>1.2569420064262153</v>
      </c>
    </row>
    <row r="66" spans="1:2" ht="12.75" customHeight="1" x14ac:dyDescent="0.2">
      <c r="A66">
        <f>Sheet1!A25/Sheet1!D25</f>
        <v>-0.3152097066987456</v>
      </c>
      <c r="B66">
        <f>Sheet1!B25/Sheet1!D25</f>
        <v>-0.37311093178498173</v>
      </c>
    </row>
    <row r="91" ht="0.75" customHeight="1" x14ac:dyDescent="0.2"/>
  </sheetData>
  <mergeCells count="41">
    <mergeCell ref="H38:I38"/>
    <mergeCell ref="D36:E36"/>
    <mergeCell ref="F32:K32"/>
    <mergeCell ref="A29:B29"/>
    <mergeCell ref="D29:E29"/>
    <mergeCell ref="A30:B30"/>
    <mergeCell ref="D30:E30"/>
    <mergeCell ref="A33:B33"/>
    <mergeCell ref="D33:E33"/>
    <mergeCell ref="F33:K33"/>
    <mergeCell ref="A32:B32"/>
    <mergeCell ref="D32:E32"/>
    <mergeCell ref="L23:M23"/>
    <mergeCell ref="D24:E24"/>
    <mergeCell ref="L24:M24"/>
    <mergeCell ref="D26:E26"/>
    <mergeCell ref="D35:E35"/>
    <mergeCell ref="L32:M32"/>
    <mergeCell ref="L33:M33"/>
    <mergeCell ref="H20:I20"/>
    <mergeCell ref="H21:I21"/>
    <mergeCell ref="H11:I11"/>
    <mergeCell ref="H12:I12"/>
    <mergeCell ref="D27:E27"/>
    <mergeCell ref="F20:G20"/>
    <mergeCell ref="D20:E20"/>
    <mergeCell ref="F21:G21"/>
    <mergeCell ref="D21:E21"/>
    <mergeCell ref="D18:E18"/>
    <mergeCell ref="D17:E17"/>
    <mergeCell ref="D15:E15"/>
    <mergeCell ref="D14:E14"/>
    <mergeCell ref="D12:E12"/>
    <mergeCell ref="D11:E11"/>
    <mergeCell ref="D23:E23"/>
    <mergeCell ref="D9:E9"/>
    <mergeCell ref="D2:E2"/>
    <mergeCell ref="D3:E3"/>
    <mergeCell ref="D5:E5"/>
    <mergeCell ref="D6:E6"/>
    <mergeCell ref="D8:E8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2959-C77D-444C-A5ED-E40D599E181D}">
  <dimension ref="A1:D25"/>
  <sheetViews>
    <sheetView workbookViewId="0">
      <selection activeCell="H11" sqref="H11"/>
    </sheetView>
  </sheetViews>
  <sheetFormatPr defaultRowHeight="12.75" x14ac:dyDescent="0.2"/>
  <cols>
    <col min="1" max="1" width="10.5703125" bestFit="1" customWidth="1"/>
    <col min="2" max="4" width="9.5703125" bestFit="1" customWidth="1"/>
  </cols>
  <sheetData>
    <row r="1" spans="1:4" x14ac:dyDescent="0.2">
      <c r="A1" t="s">
        <v>42</v>
      </c>
      <c r="B1" t="s">
        <v>43</v>
      </c>
      <c r="C1" t="s">
        <v>44</v>
      </c>
      <c r="D1" t="s">
        <v>45</v>
      </c>
    </row>
    <row r="2" spans="1:4" x14ac:dyDescent="0.2">
      <c r="A2">
        <v>87.000799999999998</v>
      </c>
      <c r="B2">
        <v>69.302570000000003</v>
      </c>
      <c r="C2">
        <v>-78.277680000000004</v>
      </c>
      <c r="D2">
        <v>-76.123279999999994</v>
      </c>
    </row>
    <row r="3" spans="1:4" x14ac:dyDescent="0.2">
      <c r="A3">
        <v>76.115589999999997</v>
      </c>
      <c r="B3">
        <v>33.950659999999999</v>
      </c>
      <c r="C3">
        <v>-65.260530000000003</v>
      </c>
      <c r="D3">
        <v>-63.132129999999997</v>
      </c>
    </row>
    <row r="4" spans="1:4" x14ac:dyDescent="0.2">
      <c r="A4">
        <v>33.818280000000001</v>
      </c>
      <c r="B4">
        <v>33.083489999999998</v>
      </c>
      <c r="C4">
        <v>-59.606720000000003</v>
      </c>
      <c r="D4">
        <v>-57.489620000000002</v>
      </c>
    </row>
    <row r="5" spans="1:4" x14ac:dyDescent="0.2">
      <c r="A5">
        <v>6.6052580000000001</v>
      </c>
      <c r="B5">
        <v>-55.296250000000001</v>
      </c>
      <c r="C5">
        <v>-27.063839999999999</v>
      </c>
      <c r="D5">
        <v>-25.011759999999999</v>
      </c>
    </row>
    <row r="6" spans="1:4" x14ac:dyDescent="0.2">
      <c r="A6">
        <v>-4.1245099999999999</v>
      </c>
      <c r="B6">
        <v>-73.080600000000004</v>
      </c>
      <c r="C6">
        <v>-19.84853</v>
      </c>
      <c r="D6">
        <v>-17.810870000000001</v>
      </c>
    </row>
    <row r="7" spans="1:4" x14ac:dyDescent="0.2">
      <c r="A7">
        <v>-35.847490000000001</v>
      </c>
      <c r="B7">
        <v>-73.730980000000002</v>
      </c>
      <c r="C7">
        <v>-15.608180000000001</v>
      </c>
      <c r="D7">
        <v>-13.578989999999999</v>
      </c>
    </row>
    <row r="8" spans="1:4" x14ac:dyDescent="0.2">
      <c r="A8">
        <v>-35.692050000000002</v>
      </c>
      <c r="B8">
        <v>-56.163429999999998</v>
      </c>
      <c r="C8">
        <v>-21.410029999999999</v>
      </c>
      <c r="D8">
        <v>-19.369250000000001</v>
      </c>
    </row>
    <row r="9" spans="1:4" x14ac:dyDescent="0.2">
      <c r="A9">
        <v>2.40618</v>
      </c>
      <c r="B9">
        <v>67.568209999999993</v>
      </c>
      <c r="C9">
        <v>-66.970070000000007</v>
      </c>
      <c r="D9">
        <v>-64.838260000000005</v>
      </c>
    </row>
    <row r="10" spans="1:4" x14ac:dyDescent="0.2">
      <c r="A10">
        <v>2.0952980000000001</v>
      </c>
      <c r="B10">
        <v>32.433109999999999</v>
      </c>
      <c r="C10">
        <v>-55.36636</v>
      </c>
      <c r="D10">
        <v>-53.257739999999998</v>
      </c>
    </row>
    <row r="11" spans="1:4" x14ac:dyDescent="0.2">
      <c r="A11">
        <v>-19.67512</v>
      </c>
      <c r="B11">
        <v>-38.270679999999999</v>
      </c>
      <c r="C11">
        <v>-29.332059999999998</v>
      </c>
      <c r="D11">
        <v>-27.275449999999999</v>
      </c>
    </row>
    <row r="12" spans="1:4" x14ac:dyDescent="0.2">
      <c r="A12">
        <v>1.473535</v>
      </c>
      <c r="B12">
        <v>-37.8371</v>
      </c>
      <c r="C12">
        <v>-32.15896</v>
      </c>
      <c r="D12">
        <v>-30.096699999999998</v>
      </c>
    </row>
    <row r="13" spans="1:4" x14ac:dyDescent="0.2">
      <c r="A13">
        <v>23.243950000000002</v>
      </c>
      <c r="B13">
        <v>32.866700000000002</v>
      </c>
      <c r="C13">
        <v>-58.193269999999998</v>
      </c>
      <c r="D13">
        <v>-56.078989999999997</v>
      </c>
    </row>
    <row r="14" spans="1:4" x14ac:dyDescent="0.2">
      <c r="A14">
        <v>83.74436</v>
      </c>
      <c r="B14">
        <v>60.094909999999999</v>
      </c>
      <c r="C14">
        <v>-85.623599999999996</v>
      </c>
      <c r="D14">
        <v>-83.454509999999999</v>
      </c>
    </row>
    <row r="15" spans="1:4" x14ac:dyDescent="0.2">
      <c r="A15">
        <v>72.85915</v>
      </c>
      <c r="B15">
        <v>24.743020000000001</v>
      </c>
      <c r="C15">
        <v>-72.606449999999995</v>
      </c>
      <c r="D15">
        <v>-70.463369999999998</v>
      </c>
    </row>
    <row r="16" spans="1:4" x14ac:dyDescent="0.2">
      <c r="A16">
        <v>30.56184</v>
      </c>
      <c r="B16">
        <v>23.87584</v>
      </c>
      <c r="C16">
        <v>-66.952640000000002</v>
      </c>
      <c r="D16">
        <v>-64.820859999999996</v>
      </c>
    </row>
    <row r="17" spans="1:4" x14ac:dyDescent="0.2">
      <c r="A17">
        <v>3.3488220000000002</v>
      </c>
      <c r="B17">
        <v>-64.503910000000005</v>
      </c>
      <c r="C17">
        <v>-34.409750000000003</v>
      </c>
      <c r="D17">
        <v>-32.343000000000004</v>
      </c>
    </row>
    <row r="18" spans="1:4" x14ac:dyDescent="0.2">
      <c r="A18">
        <v>-7.3809469999999999</v>
      </c>
      <c r="B18">
        <v>-82.288250000000005</v>
      </c>
      <c r="C18">
        <v>-27.19445</v>
      </c>
      <c r="D18">
        <v>-25.142109999999999</v>
      </c>
    </row>
    <row r="19" spans="1:4" x14ac:dyDescent="0.2">
      <c r="A19">
        <v>-39.103929999999998</v>
      </c>
      <c r="B19">
        <v>-82.938630000000003</v>
      </c>
      <c r="C19">
        <v>-22.954090000000001</v>
      </c>
      <c r="D19">
        <v>-20.910229999999999</v>
      </c>
    </row>
    <row r="20" spans="1:4" x14ac:dyDescent="0.2">
      <c r="A20">
        <v>-38.94849</v>
      </c>
      <c r="B20">
        <v>-65.371080000000006</v>
      </c>
      <c r="C20">
        <v>-28.755949999999999</v>
      </c>
      <c r="D20">
        <v>-26.700489999999999</v>
      </c>
    </row>
    <row r="21" spans="1:4" x14ac:dyDescent="0.2">
      <c r="A21">
        <v>-0.85025629999999996</v>
      </c>
      <c r="B21">
        <v>58.360570000000003</v>
      </c>
      <c r="C21">
        <v>-74.315979999999996</v>
      </c>
      <c r="D21">
        <v>-72.169489999999996</v>
      </c>
    </row>
    <row r="22" spans="1:4" x14ac:dyDescent="0.2">
      <c r="A22">
        <v>-1.161138</v>
      </c>
      <c r="B22">
        <v>23.225460000000002</v>
      </c>
      <c r="C22">
        <v>-62.71228</v>
      </c>
      <c r="D22">
        <v>-60.588979999999999</v>
      </c>
    </row>
    <row r="23" spans="1:4" x14ac:dyDescent="0.2">
      <c r="A23">
        <v>-22.931560000000001</v>
      </c>
      <c r="B23">
        <v>-47.47833</v>
      </c>
      <c r="C23">
        <v>-36.677970000000002</v>
      </c>
      <c r="D23">
        <v>-34.60669</v>
      </c>
    </row>
    <row r="24" spans="1:4" x14ac:dyDescent="0.2">
      <c r="A24">
        <v>-1.7829010000000001</v>
      </c>
      <c r="B24">
        <v>-47.044750000000001</v>
      </c>
      <c r="C24">
        <v>-39.50488</v>
      </c>
      <c r="D24">
        <v>-37.42794</v>
      </c>
    </row>
    <row r="25" spans="1:4" x14ac:dyDescent="0.2">
      <c r="A25">
        <v>19.98752</v>
      </c>
      <c r="B25">
        <v>23.659050000000001</v>
      </c>
      <c r="C25">
        <v>-65.539180000000002</v>
      </c>
      <c r="D25">
        <v>-63.410229999999999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B72AD8-C770-478D-BC33-339B656446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Assignment generation</vt:lpstr>
      <vt:lpstr>Map of Assignment</vt:lpstr>
      <vt:lpstr>Sheet1</vt:lpstr>
      <vt:lpstr>Sheet1!pointData_1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</dc:creator>
  <cp:lastModifiedBy>Student Philip Filippenko (TL_KCOMP_B_Y3)</cp:lastModifiedBy>
  <dcterms:created xsi:type="dcterms:W3CDTF">2011-10-19T09:55:01Z</dcterms:created>
  <dcterms:modified xsi:type="dcterms:W3CDTF">2025-10-16T09:16:37Z</dcterms:modified>
</cp:coreProperties>
</file>